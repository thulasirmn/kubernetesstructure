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.000"/>
    <numFmt numFmtId="166" formatCode="&quot;$&quot;#,##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808080"/>
      <sz val="9"/>
    </font>
    <font>
      <b val="1"/>
      <color rgb="00FFFFFF"/>
      <sz val="12"/>
    </font>
    <font>
      <color rgb="00333333"/>
    </font>
    <font>
      <b val="1"/>
      <color rgb="007F6000"/>
    </font>
    <font>
      <b val="1"/>
      <sz val="12"/>
    </font>
    <font>
      <b val="1"/>
      <color rgb="00006100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3" fontId="5" fillId="4" borderId="1" applyAlignment="1" pivotButton="0" quotePrefix="0" xfId="0">
      <alignment horizontal="right"/>
    </xf>
    <xf numFmtId="0" fontId="2" fillId="0" borderId="0" pivotButton="0" quotePrefix="0" xfId="0"/>
    <xf numFmtId="3" fontId="4" fillId="0" borderId="0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9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6" fontId="5" fillId="4" borderId="1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0" fontId="7" fillId="5" borderId="0" pivotButton="0" quotePrefix="0" xfId="0"/>
    <xf numFmtId="166" fontId="7" fillId="5" borderId="0" applyAlignment="1" pivotButton="0" quotePrefix="0" xfId="0">
      <alignment horizontal="right"/>
    </xf>
    <xf numFmtId="9" fontId="7" fillId="5" borderId="0" applyAlignment="1" pivotButton="0" quotePrefix="0" xfId="0">
      <alignment horizontal="right"/>
    </xf>
    <xf numFmtId="0" fontId="8" fillId="6" borderId="1" pivotButton="0" quotePrefix="0" xfId="0"/>
    <xf numFmtId="9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44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16" customWidth="1" min="4" max="4"/>
    <col width="40" customWidth="1" min="5" max="5"/>
  </cols>
  <sheetData>
    <row r="1" ht="26" customHeight="1">
      <c r="B1" s="1" t="inlineStr">
        <is>
          <t>SRW on AKS vs TRE App Service — Cost Model</t>
        </is>
      </c>
    </row>
    <row r="2">
      <c r="B2" s="2" t="inlineStr">
        <is>
          <t>Yellow cells are inputs — edit them and all results recalculate. PAYG list prices, East US, USD.</t>
        </is>
      </c>
    </row>
    <row r="4">
      <c r="B4" s="3" t="inlineStr">
        <is>
          <t>INPUTS  (edit the yellow cells)</t>
        </is>
      </c>
    </row>
    <row r="5">
      <c r="B5" s="4" t="inlineStr">
        <is>
          <t>Workspaces</t>
        </is>
      </c>
      <c r="C5" s="5" t="n">
        <v>50</v>
      </c>
      <c r="E5" s="6" t="inlineStr">
        <is>
          <t>number of TRE workspaces</t>
        </is>
      </c>
    </row>
    <row r="6">
      <c r="B6" s="4" t="inlineStr">
        <is>
          <t>Users per workspace</t>
        </is>
      </c>
      <c r="C6" s="5" t="n">
        <v>10</v>
      </c>
      <c r="E6" s="6" t="inlineStr"/>
    </row>
    <row r="7">
      <c r="B7" s="4" t="inlineStr">
        <is>
          <t>Total users</t>
        </is>
      </c>
      <c r="C7" s="7">
        <f>C5*C6</f>
        <v/>
      </c>
      <c r="E7" s="6" t="inlineStr">
        <is>
          <t>(workspaces × users/ws)</t>
        </is>
      </c>
    </row>
    <row r="8">
      <c r="B8" s="4" t="inlineStr">
        <is>
          <t>TRE App Service Plan price ($/mo)</t>
        </is>
      </c>
      <c r="C8" s="8" t="n">
        <v>267.18</v>
      </c>
      <c r="E8" s="6" t="inlineStr">
        <is>
          <t>P2v3 Linux, PAYG (approx $0.366/hr x 730)</t>
        </is>
      </c>
    </row>
    <row r="9">
      <c r="B9" s="4" t="inlineStr">
        <is>
          <t>App Service Plans per workspace</t>
        </is>
      </c>
      <c r="C9" s="5" t="n">
        <v>1</v>
      </c>
      <c r="E9" s="6" t="inlineStr">
        <is>
          <t>TRE provisions 1 plan per workspace</t>
        </is>
      </c>
    </row>
    <row r="10">
      <c r="B10" s="4" t="inlineStr">
        <is>
          <t>Peak concurrency (%)</t>
        </is>
      </c>
      <c r="C10" s="9" t="n">
        <v>0.4</v>
      </c>
      <c r="E10" s="6" t="inlineStr">
        <is>
          <t>share of users active simultaneously</t>
        </is>
      </c>
    </row>
    <row r="11">
      <c r="B11" s="4" t="inlineStr">
        <is>
          <t>Peak concurrent sessions</t>
        </is>
      </c>
      <c r="C11" s="7">
        <f>C7*C10</f>
        <v/>
      </c>
      <c r="E11" s="6" t="inlineStr">
        <is>
          <t>(total users × peak concurrency)</t>
        </is>
      </c>
    </row>
    <row r="12">
      <c r="B12" s="4" t="inlineStr">
        <is>
          <t>Off-peak baseline sessions</t>
        </is>
      </c>
      <c r="C12" s="5" t="n">
        <v>50</v>
      </c>
      <c r="E12" s="6" t="inlineStr">
        <is>
          <t>long-running jobs overnight/weekends</t>
        </is>
      </c>
    </row>
    <row r="13">
      <c r="B13" s="4" t="inlineStr">
        <is>
          <t>Sessions per AKS node</t>
        </is>
      </c>
      <c r="C13" s="5" t="n">
        <v>8</v>
      </c>
      <c r="E13" s="6" t="inlineStr">
        <is>
          <t>conservative density (D8s_v3)</t>
        </is>
      </c>
    </row>
    <row r="14">
      <c r="B14" s="4" t="inlineStr">
        <is>
          <t>AKS node price ($/hr)</t>
        </is>
      </c>
      <c r="C14" s="10" t="n">
        <v>0.384</v>
      </c>
      <c r="E14" s="6" t="inlineStr">
        <is>
          <t>Standard_D8s_v3, PAYG Linux</t>
        </is>
      </c>
    </row>
    <row r="15">
      <c r="B15" s="4" t="inlineStr">
        <is>
          <t>Peak (business) hours / month</t>
        </is>
      </c>
      <c r="C15" s="5" t="n">
        <v>220</v>
      </c>
      <c r="E15" s="6" t="inlineStr">
        <is>
          <t>≈10 hrs/day × 22 workdays</t>
        </is>
      </c>
    </row>
    <row r="16">
      <c r="B16" s="4" t="inlineStr">
        <is>
          <t>Off-peak hours / month</t>
        </is>
      </c>
      <c r="C16" s="7">
        <f>730-C15</f>
        <v/>
      </c>
      <c r="E16" s="6" t="inlineStr">
        <is>
          <t>(730 − peak hours)</t>
        </is>
      </c>
    </row>
    <row r="17">
      <c r="B17" s="4" t="inlineStr">
        <is>
          <t>AKS fixed platform cost ($/mo)</t>
        </is>
      </c>
      <c r="C17" s="11" t="n">
        <v>378</v>
      </c>
      <c r="E17" s="6" t="inlineStr">
        <is>
          <t>control plane + system pool + LB</t>
        </is>
      </c>
    </row>
    <row r="19">
      <c r="B19" s="3" t="inlineStr">
        <is>
          <t>MODEL A — TRE App Service (1 plan per workspace, 24×7)</t>
        </is>
      </c>
    </row>
    <row r="20">
      <c r="B20" s="4" t="inlineStr">
        <is>
          <t>TRE cost / month</t>
        </is>
      </c>
      <c r="C20" s="12">
        <f>C5*C9*C8</f>
        <v/>
      </c>
    </row>
    <row r="21">
      <c r="B21" s="4" t="inlineStr">
        <is>
          <t>TRE cost / year</t>
        </is>
      </c>
      <c r="C21" s="12">
        <f>C20*12</f>
        <v/>
      </c>
    </row>
    <row r="23">
      <c r="B23" s="3" t="inlineStr">
        <is>
          <t>MODEL B — SRW on AKS (shared cluster, on-demand pods)</t>
        </is>
      </c>
    </row>
    <row r="24">
      <c r="B24" s="4" t="inlineStr">
        <is>
          <t>Peak nodes</t>
        </is>
      </c>
      <c r="C24" s="7">
        <f>ROUNDUP(C11/C13,0)</f>
        <v/>
      </c>
      <c r="E24" s="6" t="inlineStr">
        <is>
          <t>(peak sessions ÷ sessions/node)</t>
        </is>
      </c>
    </row>
    <row r="25">
      <c r="B25" s="4" t="inlineStr">
        <is>
          <t>Off-peak nodes</t>
        </is>
      </c>
      <c r="C25" s="7">
        <f>ROUNDUP(C12/C13,0)</f>
        <v/>
      </c>
      <c r="E25" s="6" t="inlineStr">
        <is>
          <t>(baseline sessions ÷ sessions/node)</t>
        </is>
      </c>
    </row>
    <row r="26">
      <c r="B26" s="4" t="inlineStr">
        <is>
          <t>Node-hours / month</t>
        </is>
      </c>
      <c r="C26" s="7">
        <f>C24*C15+C25*C16</f>
        <v/>
      </c>
      <c r="E26" s="6" t="inlineStr">
        <is>
          <t>peak nodes×peak hrs + off nodes×off hrs</t>
        </is>
      </c>
    </row>
    <row r="27">
      <c r="B27" s="4" t="inlineStr">
        <is>
          <t>Session compute / month</t>
        </is>
      </c>
      <c r="C27" s="13">
        <f>C26*C14</f>
        <v/>
      </c>
    </row>
    <row r="28">
      <c r="B28" s="4" t="inlineStr">
        <is>
          <t>AKS cost / month</t>
        </is>
      </c>
      <c r="C28" s="12">
        <f>C27+C17</f>
        <v/>
      </c>
    </row>
    <row r="29">
      <c r="B29" s="4" t="inlineStr">
        <is>
          <t>AKS cost / year</t>
        </is>
      </c>
      <c r="C29" s="12">
        <f>C28*12</f>
        <v/>
      </c>
    </row>
    <row r="31">
      <c r="B31" s="3" t="inlineStr">
        <is>
          <t>RESULT — SAVINGS (AKS vs TRE)</t>
        </is>
      </c>
    </row>
    <row r="32">
      <c r="B32" s="14" t="inlineStr">
        <is>
          <t>Savings / month</t>
        </is>
      </c>
      <c r="C32" s="15">
        <f>C20-C28</f>
        <v/>
      </c>
    </row>
    <row r="33">
      <c r="B33" s="14" t="inlineStr">
        <is>
          <t>Savings / year</t>
        </is>
      </c>
      <c r="C33" s="15">
        <f>C21-C29</f>
        <v/>
      </c>
    </row>
    <row r="34">
      <c r="B34" s="14" t="inlineStr">
        <is>
          <t>% reduction</t>
        </is>
      </c>
      <c r="C34" s="16">
        <f>(C20-C28)/C20</f>
        <v/>
      </c>
    </row>
    <row r="37">
      <c r="B37" s="3" t="inlineStr">
        <is>
          <t>SENSITIVITY — AKS cost &amp; savings vs peak concurrency</t>
        </is>
      </c>
    </row>
    <row r="38">
      <c r="B38" s="17" t="inlineStr">
        <is>
          <t>Peak concurrency</t>
        </is>
      </c>
      <c r="C38" s="17" t="inlineStr">
        <is>
          <t>AKS $/mo</t>
        </is>
      </c>
      <c r="D38" s="17" t="inlineStr">
        <is>
          <t>Savings $/mo</t>
        </is>
      </c>
      <c r="E38" s="17" t="inlineStr">
        <is>
          <t>% reduction</t>
        </is>
      </c>
    </row>
    <row r="39">
      <c r="B39" s="18" t="n">
        <v>0.1</v>
      </c>
      <c r="C39" s="19">
        <f>((ROUNDUP((C7*0.1)/C13,0)*C15+C25*C16)*C14+C17)</f>
        <v/>
      </c>
      <c r="D39" s="19">
        <f>C20-((ROUNDUP((C7*0.1)/C13,0)*C15+C25*C16)*C14+C17)</f>
        <v/>
      </c>
      <c r="E39" s="18">
        <f>(C20-C39)/C20</f>
        <v/>
      </c>
    </row>
    <row r="40">
      <c r="B40" s="18" t="n">
        <v>0.2</v>
      </c>
      <c r="C40" s="19">
        <f>((ROUNDUP((C7*0.2)/C13,0)*C15+C25*C16)*C14+C17)</f>
        <v/>
      </c>
      <c r="D40" s="19">
        <f>C20-((ROUNDUP((C7*0.2)/C13,0)*C15+C25*C16)*C14+C17)</f>
        <v/>
      </c>
      <c r="E40" s="18">
        <f>(C20-C40)/C20</f>
        <v/>
      </c>
    </row>
    <row r="41">
      <c r="B41" s="18" t="n">
        <v>0.4</v>
      </c>
      <c r="C41" s="19">
        <f>((ROUNDUP((C7*0.4)/C13,0)*C15+C25*C16)*C14+C17)</f>
        <v/>
      </c>
      <c r="D41" s="19">
        <f>C20-((ROUNDUP((C7*0.4)/C13,0)*C15+C25*C16)*C14+C17)</f>
        <v/>
      </c>
      <c r="E41" s="18">
        <f>(C20-C41)/C20</f>
        <v/>
      </c>
    </row>
    <row r="42">
      <c r="B42" s="18" t="n">
        <v>1</v>
      </c>
      <c r="C42" s="19">
        <f>((ROUNDUP((C7*1.0)/C13,0)*C15+C25*C16)*C14+C17)</f>
        <v/>
      </c>
      <c r="D42" s="19">
        <f>C20-((ROUNDUP((C7*1.0)/C13,0)*C15+C25*C16)*C14+C17)</f>
        <v/>
      </c>
      <c r="E42" s="18">
        <f>(C20-C42)/C20</f>
        <v/>
      </c>
    </row>
    <row r="44">
      <c r="B44" s="6" t="inlineStr">
        <is>
          <t>Note: replace prices with your EA/CSP rate card (apply to both sides). Cosmos DB &amp; Service Bus excluded — already in prod infra.</t>
        </is>
      </c>
    </row>
  </sheetData>
  <mergeCells count="8">
    <mergeCell ref="B31:E31"/>
    <mergeCell ref="B23:E23"/>
    <mergeCell ref="B1:E1"/>
    <mergeCell ref="B4:E4"/>
    <mergeCell ref="B44:E44"/>
    <mergeCell ref="B19:E19"/>
    <mergeCell ref="B37:E37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2026-06-02T05:59:15Z</dcterms:created>
  <dcterms:modified xmlns:dcterms="http://purl.org/dc/terms/" xmlns:xsi="http://www.w3.org/2001/XMLSchema-instance" xsi:type="dcterms:W3CDTF">2026-06-02T08:53:56Z</dcterms:modified>
</cp:coreProperties>
</file>