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S Sizing &amp;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"/>
    <numFmt numFmtId="166" formatCode="&quot;$&quot;#,##0.00"/>
  </numFmts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808080"/>
      <sz val="9"/>
    </font>
    <font>
      <b val="1"/>
      <color rgb="00FFFFFF"/>
      <sz val="12"/>
    </font>
    <font>
      <color rgb="00333333"/>
    </font>
    <font>
      <b val="1"/>
      <color rgb="007F6000"/>
    </font>
    <font>
      <b val="1"/>
    </font>
    <font>
      <b val="1"/>
      <color rgb="00FFFFFF"/>
    </font>
    <font>
      <b val="1"/>
      <color rgb="00006100"/>
    </font>
    <font>
      <b val="1"/>
      <color rgb="00006100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7F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3" fontId="5" fillId="4" borderId="1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9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center"/>
    </xf>
    <xf numFmtId="0" fontId="0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0" fillId="5" borderId="1" pivotButton="0" quotePrefix="0" xfId="0"/>
    <xf numFmtId="3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0" fontId="8" fillId="6" borderId="1" applyAlignment="1" pivotButton="0" quotePrefix="0" xfId="0">
      <alignment horizontal="center"/>
    </xf>
    <xf numFmtId="3" fontId="9" fillId="6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0" borderId="1" pivotButton="0" quotePrefix="0" xfId="0"/>
    <xf numFmtId="0" fontId="8" fillId="0" borderId="1" pivotButton="0" quotePrefix="0" xfId="0"/>
    <xf numFmtId="165" fontId="9" fillId="6" borderId="1" applyAlignment="1" pivotButton="0" quotePrefix="0" xfId="0">
      <alignment horizontal="right"/>
    </xf>
    <xf numFmtId="9" fontId="9" fillId="6" borderId="1" applyAlignment="1" pivotButton="0" quotePrefix="0" xfId="0">
      <alignment horizontal="right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center"/>
    </xf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69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5" customWidth="1" min="3" max="3"/>
    <col width="14" customWidth="1" min="4" max="4"/>
    <col width="15" customWidth="1" min="5" max="5"/>
    <col width="16" customWidth="1" min="6" max="6"/>
    <col width="13" customWidth="1" min="7" max="7"/>
    <col width="14" customWidth="1" min="8" max="8"/>
    <col width="13" customWidth="1" min="9" max="9"/>
    <col width="12" customWidth="1" min="10" max="10"/>
    <col width="14" customWidth="1" min="11" max="11"/>
  </cols>
  <sheetData>
    <row r="1" ht="22" customHeight="1">
      <c r="B1" s="1" t="inlineStr">
        <is>
          <t>SRW on AKS — Cluster Sizing &amp; Cost vs TRE App Service</t>
        </is>
      </c>
    </row>
    <row r="2">
      <c r="B2" s="2" t="inlineStr">
        <is>
          <t>Yellow = inputs (edit freely). Green = pick the node SKU from the dropdown. All capacity, node counts and costs recalculate.</t>
        </is>
      </c>
    </row>
    <row r="4" ht="18" customHeight="1">
      <c r="B4" s="3" t="inlineStr">
        <is>
          <t>INPUTS — CAPACITY</t>
        </is>
      </c>
    </row>
    <row r="5">
      <c r="B5" s="4" t="inlineStr">
        <is>
          <t>Workspaces</t>
        </is>
      </c>
      <c r="C5" s="5" t="n">
        <v>500</v>
      </c>
    </row>
    <row r="6">
      <c r="B6" s="4" t="inlineStr">
        <is>
          <t>Users per workspace</t>
        </is>
      </c>
      <c r="C6" s="5" t="n">
        <v>10</v>
      </c>
    </row>
    <row r="7">
      <c r="B7" s="4" t="inlineStr">
        <is>
          <t>Total users</t>
        </is>
      </c>
      <c r="C7" s="6">
        <f>C5*C6</f>
        <v/>
      </c>
    </row>
    <row r="8">
      <c r="B8" s="4" t="inlineStr">
        <is>
          <t>Peak concurrency (% of users active)</t>
        </is>
      </c>
      <c r="C8" s="7" t="n">
        <v>0.4</v>
      </c>
    </row>
    <row r="9">
      <c r="B9" s="4" t="inlineStr">
        <is>
          <t>Avg apps open per active user</t>
        </is>
      </c>
      <c r="C9" s="8" t="n">
        <v>1</v>
      </c>
    </row>
    <row r="10">
      <c r="B10" s="4" t="inlineStr">
        <is>
          <t>Concurrent sessions (peak)</t>
        </is>
      </c>
      <c r="C10" s="9">
        <f>ROUND(C7*C8*C9,0)</f>
        <v/>
      </c>
    </row>
    <row r="11">
      <c r="B11" s="4" t="inlineStr">
        <is>
          <t>Per-pod CPU request (vCPU)</t>
        </is>
      </c>
      <c r="C11" s="10" t="n">
        <v>0.5</v>
      </c>
    </row>
    <row r="12">
      <c r="B12" s="4" t="inlineStr">
        <is>
          <t>Per-pod RAM request (GiB)</t>
        </is>
      </c>
      <c r="C12" s="8" t="n">
        <v>1</v>
      </c>
    </row>
    <row r="13">
      <c r="B13" s="4" t="inlineStr">
        <is>
          <t>Per-pod CPU limit (vCPU, burst)</t>
        </is>
      </c>
      <c r="C13" s="8" t="n">
        <v>2</v>
      </c>
    </row>
    <row r="14">
      <c r="B14" s="4" t="inlineStr">
        <is>
          <t>Per-pod RAM limit (GiB, burst)</t>
        </is>
      </c>
      <c r="C14" s="8" t="n">
        <v>4</v>
      </c>
    </row>
    <row r="15">
      <c r="B15" s="4" t="inlineStr">
        <is>
          <t>Node headroom (burst + fragmentation)</t>
        </is>
      </c>
      <c r="C15" s="7" t="n">
        <v>0.35</v>
      </c>
    </row>
    <row r="16">
      <c r="B16" s="4" t="inlineStr">
        <is>
          <t>Node CPU allocatable factor</t>
        </is>
      </c>
      <c r="C16" s="7" t="n">
        <v>0.95</v>
      </c>
    </row>
    <row r="17">
      <c r="B17" s="4" t="inlineStr">
        <is>
          <t>Node RAM allocatable factor</t>
        </is>
      </c>
      <c r="C17" s="7" t="n">
        <v>0.88</v>
      </c>
    </row>
    <row r="18">
      <c r="B18" s="4" t="inlineStr">
        <is>
          <t>DaemonSet vCPU per node</t>
        </is>
      </c>
      <c r="C18" s="10" t="n">
        <v>0.4</v>
      </c>
    </row>
    <row r="19">
      <c r="B19" s="4" t="inlineStr">
        <is>
          <t>DaemonSet RAM per node (GiB)</t>
        </is>
      </c>
      <c r="C19" s="8" t="n">
        <v>0.5</v>
      </c>
    </row>
    <row r="21" ht="18" customHeight="1">
      <c r="B21" s="3" t="inlineStr">
        <is>
          <t>INPUTS — COST &amp; UTILIZATION</t>
        </is>
      </c>
    </row>
    <row r="22">
      <c r="B22" s="4" t="inlineStr">
        <is>
          <t>Peak business hours / month</t>
        </is>
      </c>
      <c r="C22" s="5" t="n">
        <v>220</v>
      </c>
    </row>
    <row r="23">
      <c r="B23" s="4" t="inlineStr">
        <is>
          <t>Off-peak hours / month</t>
        </is>
      </c>
      <c r="C23" s="6">
        <f>730-C22</f>
        <v/>
      </c>
    </row>
    <row r="24">
      <c r="B24" s="4" t="inlineStr">
        <is>
          <t>Off-peak baseline concurrency (%)</t>
        </is>
      </c>
      <c r="C24" s="7" t="n">
        <v>0.1</v>
      </c>
    </row>
    <row r="25">
      <c r="B25" s="4" t="inlineStr">
        <is>
          <t>Off-peak concurrent sessions</t>
        </is>
      </c>
      <c r="C25" s="6">
        <f>ROUND(C7*C24*C9,0)</f>
        <v/>
      </c>
    </row>
    <row r="26">
      <c r="B26" s="4" t="inlineStr">
        <is>
          <t>AKS fixed platform cost ($/mo)</t>
        </is>
      </c>
      <c r="C26" s="11" t="n">
        <v>520</v>
      </c>
    </row>
    <row r="27">
      <c r="B27" s="4" t="inlineStr">
        <is>
          <t>TRE App Service Plan ($/mo, P2v3)</t>
        </is>
      </c>
      <c r="C27" s="12" t="n">
        <v>267.18</v>
      </c>
    </row>
    <row r="28">
      <c r="B28" s="4" t="inlineStr">
        <is>
          <t>TRE App Service Plans per workspace</t>
        </is>
      </c>
      <c r="C28" s="5" t="n">
        <v>1</v>
      </c>
    </row>
    <row r="30" ht="18" customHeight="1">
      <c r="B30" s="3" t="inlineStr">
        <is>
          <t>AGGREGATE CAPACITY AT PEAK</t>
        </is>
      </c>
    </row>
    <row r="31">
      <c r="B31" s="4" t="inlineStr">
        <is>
          <t>Reserved vCPU (sessions x request)</t>
        </is>
      </c>
      <c r="C31" s="9">
        <f>C10*C11</f>
        <v/>
      </c>
    </row>
    <row r="32">
      <c r="B32" s="4" t="inlineStr">
        <is>
          <t>Reserved RAM (GiB)</t>
        </is>
      </c>
      <c r="C32" s="9">
        <f>C10*C12</f>
        <v/>
      </c>
    </row>
    <row r="33">
      <c r="B33" s="4" t="inlineStr">
        <is>
          <t>Reserved RAM (TB)</t>
        </is>
      </c>
      <c r="C33" s="13">
        <f>C32/1024</f>
        <v/>
      </c>
    </row>
    <row r="34">
      <c r="B34" s="4" t="inlineStr">
        <is>
          <t>Burst-max vCPU (every pod at its limit)</t>
        </is>
      </c>
      <c r="C34" s="6">
        <f>C10*C13</f>
        <v/>
      </c>
    </row>
    <row r="36" ht="18" customHeight="1">
      <c r="B36" s="3" t="inlineStr">
        <is>
          <t>NODE SKU COMPARISON  (capacity + monthly cost, auto-computed)</t>
        </is>
      </c>
    </row>
    <row r="37">
      <c r="B37" s="14" t="inlineStr">
        <is>
          <t>Node SKU</t>
        </is>
      </c>
      <c r="C37" s="15" t="inlineStr">
        <is>
          <t>vCPU</t>
        </is>
      </c>
      <c r="D37" s="15" t="inlineStr">
        <is>
          <t>RAM (GiB)</t>
        </is>
      </c>
      <c r="E37" s="15" t="inlineStr">
        <is>
          <t>Usable vCPU</t>
        </is>
      </c>
      <c r="F37" s="15" t="inlineStr">
        <is>
          <t>Usable RAM (GiB)</t>
        </is>
      </c>
      <c r="G37" s="15" t="inlineStr">
        <is>
          <t>Sessions/node</t>
        </is>
      </c>
      <c r="H37" s="15" t="inlineStr">
        <is>
          <t>Peak nodes</t>
        </is>
      </c>
      <c r="I37" s="15" t="inlineStr">
        <is>
          <t>Off-peak nodes</t>
        </is>
      </c>
      <c r="J37" s="15" t="inlineStr">
        <is>
          <t>Node $/hr</t>
        </is>
      </c>
      <c r="K37" s="15" t="inlineStr">
        <is>
          <t>AKS $/mo</t>
        </is>
      </c>
    </row>
    <row r="38">
      <c r="B38" s="16" t="inlineStr">
        <is>
          <t>D8s_v3</t>
        </is>
      </c>
      <c r="C38" s="17" t="n">
        <v>8</v>
      </c>
      <c r="D38" s="17" t="n">
        <v>32</v>
      </c>
      <c r="E38" s="18">
        <f>C38*$C$16-$C$18</f>
        <v/>
      </c>
      <c r="F38" s="18">
        <f>D38*$C$17-$C$19</f>
        <v/>
      </c>
      <c r="G38" s="17">
        <f>MIN(ROUNDDOWN(E38/$C$11,0),ROUNDDOWN(F38/$C$12,0))</f>
        <v/>
      </c>
      <c r="H38" s="17">
        <f>ROUNDUP($C$10*(1+$C$15)/G38,0)</f>
        <v/>
      </c>
      <c r="I38" s="17">
        <f>ROUNDUP($C$25*(1+$C$15)/G38,0)</f>
        <v/>
      </c>
      <c r="J38" s="12" t="n">
        <v>0.384</v>
      </c>
      <c r="K38" s="19">
        <f>(H38*$C$22+I38*$C$23)*J38+$C$26</f>
        <v/>
      </c>
    </row>
    <row r="39">
      <c r="B39" s="20" t="inlineStr">
        <is>
          <t>D16s_v3</t>
        </is>
      </c>
      <c r="C39" s="21" t="n">
        <v>16</v>
      </c>
      <c r="D39" s="21" t="n">
        <v>64</v>
      </c>
      <c r="E39" s="22">
        <f>C39*$C$16-$C$18</f>
        <v/>
      </c>
      <c r="F39" s="22">
        <f>D39*$C$17-$C$19</f>
        <v/>
      </c>
      <c r="G39" s="21">
        <f>MIN(ROUNDDOWN(E39/$C$11,0),ROUNDDOWN(F39/$C$12,0))</f>
        <v/>
      </c>
      <c r="H39" s="21">
        <f>ROUNDUP($C$10*(1+$C$15)/G39,0)</f>
        <v/>
      </c>
      <c r="I39" s="21">
        <f>ROUNDUP($C$25*(1+$C$15)/G39,0)</f>
        <v/>
      </c>
      <c r="J39" s="12" t="n">
        <v>0.768</v>
      </c>
      <c r="K39" s="23">
        <f>(H39*$C$22+I39*$C$23)*J39+$C$26</f>
        <v/>
      </c>
    </row>
    <row r="40">
      <c r="B40" s="16" t="inlineStr">
        <is>
          <t>D32s_v3</t>
        </is>
      </c>
      <c r="C40" s="17" t="n">
        <v>32</v>
      </c>
      <c r="D40" s="17" t="n">
        <v>128</v>
      </c>
      <c r="E40" s="18">
        <f>C40*$C$16-$C$18</f>
        <v/>
      </c>
      <c r="F40" s="18">
        <f>D40*$C$17-$C$19</f>
        <v/>
      </c>
      <c r="G40" s="17">
        <f>MIN(ROUNDDOWN(E40/$C$11,0),ROUNDDOWN(F40/$C$12,0))</f>
        <v/>
      </c>
      <c r="H40" s="17">
        <f>ROUNDUP($C$10*(1+$C$15)/G40,0)</f>
        <v/>
      </c>
      <c r="I40" s="17">
        <f>ROUNDUP($C$25*(1+$C$15)/G40,0)</f>
        <v/>
      </c>
      <c r="J40" s="12" t="n">
        <v>1.536</v>
      </c>
      <c r="K40" s="19">
        <f>(H40*$C$22+I40*$C$23)*J40+$C$26</f>
        <v/>
      </c>
    </row>
    <row r="41">
      <c r="B41" s="20" t="inlineStr">
        <is>
          <t>F16s_v2</t>
        </is>
      </c>
      <c r="C41" s="21" t="n">
        <v>16</v>
      </c>
      <c r="D41" s="21" t="n">
        <v>32</v>
      </c>
      <c r="E41" s="22">
        <f>C41*$C$16-$C$18</f>
        <v/>
      </c>
      <c r="F41" s="22">
        <f>D41*$C$17-$C$19</f>
        <v/>
      </c>
      <c r="G41" s="21">
        <f>MIN(ROUNDDOWN(E41/$C$11,0),ROUNDDOWN(F41/$C$12,0))</f>
        <v/>
      </c>
      <c r="H41" s="21">
        <f>ROUNDUP($C$10*(1+$C$15)/G41,0)</f>
        <v/>
      </c>
      <c r="I41" s="21">
        <f>ROUNDUP($C$25*(1+$C$15)/G41,0)</f>
        <v/>
      </c>
      <c r="J41" s="12" t="n">
        <v>0.677</v>
      </c>
      <c r="K41" s="23">
        <f>(H41*$C$22+I41*$C$23)*J41+$C$26</f>
        <v/>
      </c>
    </row>
    <row r="42">
      <c r="B42" s="16" t="inlineStr">
        <is>
          <t>F32s_v2</t>
        </is>
      </c>
      <c r="C42" s="17" t="n">
        <v>32</v>
      </c>
      <c r="D42" s="17" t="n">
        <v>64</v>
      </c>
      <c r="E42" s="18">
        <f>C42*$C$16-$C$18</f>
        <v/>
      </c>
      <c r="F42" s="18">
        <f>D42*$C$17-$C$19</f>
        <v/>
      </c>
      <c r="G42" s="17">
        <f>MIN(ROUNDDOWN(E42/$C$11,0),ROUNDDOWN(F42/$C$12,0))</f>
        <v/>
      </c>
      <c r="H42" s="17">
        <f>ROUNDUP($C$10*(1+$C$15)/G42,0)</f>
        <v/>
      </c>
      <c r="I42" s="17">
        <f>ROUNDUP($C$25*(1+$C$15)/G42,0)</f>
        <v/>
      </c>
      <c r="J42" s="12" t="n">
        <v>1.354</v>
      </c>
      <c r="K42" s="19">
        <f>(H42*$C$22+I42*$C$23)*J42+$C$26</f>
        <v/>
      </c>
    </row>
    <row r="44" ht="18" customHeight="1">
      <c r="B44" s="3" t="inlineStr">
        <is>
          <t>RECOMMENDED CLUSTER  (driven by the SKU you pick below)</t>
        </is>
      </c>
    </row>
    <row r="45">
      <c r="B45" s="4" t="inlineStr">
        <is>
          <t>Selected node SKU</t>
        </is>
      </c>
      <c r="C45" s="24" t="inlineStr">
        <is>
          <t>D16s_v3</t>
        </is>
      </c>
    </row>
    <row r="46">
      <c r="B46" s="4" t="inlineStr">
        <is>
          <t>Sessions per node</t>
        </is>
      </c>
      <c r="C46" s="6">
        <f>INDEX(G38:G42,MATCH(C45,B38:B42,0))</f>
        <v/>
      </c>
    </row>
    <row r="47">
      <c r="B47" s="4" t="inlineStr">
        <is>
          <t>User node pool — peak nodes</t>
        </is>
      </c>
      <c r="C47" s="25">
        <f>INDEX(H38:H42,MATCH(C45,B38:B42,0))</f>
        <v/>
      </c>
    </row>
    <row r="48">
      <c r="B48" s="4" t="inlineStr">
        <is>
          <t>User node pool — off-peak nodes</t>
        </is>
      </c>
      <c r="C48" s="6">
        <f>INDEX(I38:I42,MATCH(C45,B38:B42,0))</f>
        <v/>
      </c>
    </row>
    <row r="49">
      <c r="B49" s="4" t="inlineStr">
        <is>
          <t>Selected node $/hr</t>
        </is>
      </c>
      <c r="C49" s="26">
        <f>INDEX(J38:J42,MATCH(C45,B38:B42,0))</f>
        <v/>
      </c>
    </row>
    <row r="50">
      <c r="B50" s="4" t="inlineStr">
        <is>
          <t>Peak vCPU provisioned (user pool)</t>
        </is>
      </c>
      <c r="C50" s="6">
        <f>C47*INDEX(C38:C42,MATCH(C45,B38:B42,0))</f>
        <v/>
      </c>
    </row>
    <row r="51">
      <c r="B51" s="4" t="inlineStr">
        <is>
          <t>Peak RAM provisioned (GiB, user pool)</t>
        </is>
      </c>
      <c r="C51" s="6">
        <f>C47*INDEX(D38:D42,MATCH(C45,B38:B42,0))</f>
        <v/>
      </c>
    </row>
    <row r="52">
      <c r="B52" s="4" t="inlineStr">
        <is>
          <t>System node pool (fixed)</t>
        </is>
      </c>
      <c r="C52" s="27" t="inlineStr">
        <is>
          <t>3 x D4s_v3</t>
        </is>
      </c>
    </row>
    <row r="54" ht="18" customHeight="1">
      <c r="B54" s="3" t="inlineStr">
        <is>
          <t>COST COMPARISON — SRW on AKS  vs  TRE App Service</t>
        </is>
      </c>
    </row>
    <row r="55">
      <c r="B55" s="14" t="inlineStr"/>
      <c r="C55" s="15" t="inlineStr">
        <is>
          <t>Per month</t>
        </is>
      </c>
      <c r="D55" s="15" t="inlineStr">
        <is>
          <t>Per year</t>
        </is>
      </c>
    </row>
    <row r="56">
      <c r="B56" s="28" t="inlineStr">
        <is>
          <t>TRE — one App Service Plan per workspace (24x7)</t>
        </is>
      </c>
      <c r="C56" s="19">
        <f>C5*C28*C27</f>
        <v/>
      </c>
      <c r="D56" s="19">
        <f>C56*12</f>
        <v/>
      </c>
    </row>
    <row r="57">
      <c r="B57" s="28" t="inlineStr">
        <is>
          <t>SRW on AKS — shared cluster (selected SKU)</t>
        </is>
      </c>
      <c r="C57" s="19">
        <f>INDEX(K38:K42,MATCH(C45,B38:B42,0))</f>
        <v/>
      </c>
      <c r="D57" s="19">
        <f>C57*12</f>
        <v/>
      </c>
    </row>
    <row r="58">
      <c r="B58" s="29" t="inlineStr">
        <is>
          <t>Savings</t>
        </is>
      </c>
      <c r="C58" s="30">
        <f>C56-C57</f>
        <v/>
      </c>
      <c r="D58" s="30">
        <f>D56-D57</f>
        <v/>
      </c>
    </row>
    <row r="59">
      <c r="B59" s="29" t="inlineStr">
        <is>
          <t>% reduction</t>
        </is>
      </c>
      <c r="C59" s="31">
        <f>(C56-C57)/C56</f>
        <v/>
      </c>
      <c r="D59" s="16" t="n"/>
    </row>
    <row r="61" ht="18" customHeight="1">
      <c r="B61" s="3" t="inlineStr">
        <is>
          <t>CONCURRENCY SENSITIVITY  (selected SKU; off-peak baseline held fixed)</t>
        </is>
      </c>
    </row>
    <row r="62">
      <c r="B62" s="32" t="inlineStr">
        <is>
          <t>Peak concurrency</t>
        </is>
      </c>
      <c r="C62" s="33" t="inlineStr">
        <is>
          <t>Concurrent sessions</t>
        </is>
      </c>
      <c r="D62" s="33" t="inlineStr">
        <is>
          <t>Peak nodes</t>
        </is>
      </c>
      <c r="E62" s="33" t="inlineStr">
        <is>
          <t>AKS $/mo</t>
        </is>
      </c>
      <c r="F62" s="33" t="inlineStr">
        <is>
          <t>Savings $/mo vs TRE</t>
        </is>
      </c>
    </row>
    <row r="63">
      <c r="B63" s="34" t="n">
        <v>0.1</v>
      </c>
      <c r="C63" s="17">
        <f>ROUND($C$7*0.1*$C$9,0)</f>
        <v/>
      </c>
      <c r="D63" s="17">
        <f>ROUNDUP(C63*(1+$C$15)/$C$46,0)</f>
        <v/>
      </c>
      <c r="E63" s="19">
        <f>(D63*$C$22+$C$48*$C$23)*$C$49+$C$26</f>
        <v/>
      </c>
      <c r="F63" s="19">
        <f>$C$56-E63</f>
        <v/>
      </c>
    </row>
    <row r="64">
      <c r="B64" s="34" t="n">
        <v>0.2</v>
      </c>
      <c r="C64" s="17">
        <f>ROUND($C$7*0.2*$C$9,0)</f>
        <v/>
      </c>
      <c r="D64" s="17">
        <f>ROUNDUP(C64*(1+$C$15)/$C$46,0)</f>
        <v/>
      </c>
      <c r="E64" s="19">
        <f>(D64*$C$22+$C$48*$C$23)*$C$49+$C$26</f>
        <v/>
      </c>
      <c r="F64" s="19">
        <f>$C$56-E64</f>
        <v/>
      </c>
    </row>
    <row r="65">
      <c r="B65" s="34" t="n">
        <v>0.4</v>
      </c>
      <c r="C65" s="17">
        <f>ROUND($C$7*0.4*$C$9,0)</f>
        <v/>
      </c>
      <c r="D65" s="17">
        <f>ROUNDUP(C65*(1+$C$15)/$C$46,0)</f>
        <v/>
      </c>
      <c r="E65" s="19">
        <f>(D65*$C$22+$C$48*$C$23)*$C$49+$C$26</f>
        <v/>
      </c>
      <c r="F65" s="19">
        <f>$C$56-E65</f>
        <v/>
      </c>
    </row>
    <row r="66">
      <c r="B66" s="34" t="n">
        <v>0.6</v>
      </c>
      <c r="C66" s="17">
        <f>ROUND($C$7*0.6*$C$9,0)</f>
        <v/>
      </c>
      <c r="D66" s="17">
        <f>ROUNDUP(C66*(1+$C$15)/$C$46,0)</f>
        <v/>
      </c>
      <c r="E66" s="19">
        <f>(D66*$C$22+$C$48*$C$23)*$C$49+$C$26</f>
        <v/>
      </c>
      <c r="F66" s="19">
        <f>$C$56-E66</f>
        <v/>
      </c>
    </row>
    <row r="67">
      <c r="B67" s="34" t="n">
        <v>1</v>
      </c>
      <c r="C67" s="17">
        <f>ROUND($C$7*1.0*$C$9,0)</f>
        <v/>
      </c>
      <c r="D67" s="17">
        <f>ROUNDUP(C67*(1+$C$15)/$C$46,0)</f>
        <v/>
      </c>
      <c r="E67" s="19">
        <f>(D67*$C$22+$C$48*$C$23)*$C$49+$C$26</f>
        <v/>
      </c>
      <c r="F67" s="19">
        <f>$C$56-E67</f>
        <v/>
      </c>
    </row>
    <row r="69">
      <c r="B69" s="2" t="inlineStr">
        <is>
          <t>Costs: PAYG list rates (Linux, East US) — D8s_v3 $0.384/hr; node $/hr cells are editable (swap in your EA/CSP rate). AKS $/mo = (peak nodes x peak hrs + off-peak nodes x off-peak hrs) x node $/hr + fixed. Node counts are the autoscaler PEAK ceiling, not 24/7 spend. Reserved Instances on the baseline pool cut compute a further ~40%. Reminder: 500 workspaces = 500 storage accounts &gt; Azure default 250/region (request a quota increase).</t>
        </is>
      </c>
    </row>
  </sheetData>
  <mergeCells count="10">
    <mergeCell ref="B61:K61"/>
    <mergeCell ref="B1:K1"/>
    <mergeCell ref="B54:K54"/>
    <mergeCell ref="B4:K4"/>
    <mergeCell ref="B21:K21"/>
    <mergeCell ref="B30:K30"/>
    <mergeCell ref="B44:K44"/>
    <mergeCell ref="B69:K69"/>
    <mergeCell ref="B2:K2"/>
    <mergeCell ref="B36:K36"/>
  </mergeCells>
  <dataValidations count="1">
    <dataValidation sqref="C45" showDropDown="0" showInputMessage="0" showErrorMessage="0" allowBlank="0" type="list">
      <formula1>"D8s_v3,D16s_v3,D32s_v3,F16s_v2,F32s_v2"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2026-06-02T10:47:45Z</dcterms:created>
  <dcterms:modified xmlns:dcterms="http://purl.org/dc/terms/" xmlns:xsi="http://www.w3.org/2001/XMLSchema-instance" xsi:type="dcterms:W3CDTF">2026-06-02T10:47:45Z</dcterms:modified>
</cp:coreProperties>
</file>